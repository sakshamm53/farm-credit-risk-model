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derwriting &amp; Sensi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$#,##0.00"/>
    <numFmt numFmtId="166" formatCode="$#,##0"/>
    <numFmt numFmtId="167" formatCode="0.00x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sz val="10"/>
    </font>
    <font>
      <name val="Calibri"/>
      <b val="1"/>
      <color rgb="00355E3B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i val="1"/>
      <sz val="9"/>
    </font>
    <font>
      <name val="Calibri"/>
      <i val="1"/>
      <color rgb="00555555"/>
      <sz val="9"/>
    </font>
  </fonts>
  <fills count="4">
    <fill>
      <patternFill/>
    </fill>
    <fill>
      <patternFill patternType="gray125"/>
    </fill>
    <fill>
      <patternFill patternType="solid">
        <fgColor rgb="00355E3B"/>
        <bgColor rgb="00355E3B"/>
      </patternFill>
    </fill>
    <fill>
      <patternFill patternType="solid">
        <fgColor rgb="00EAF2EC"/>
        <bgColor rgb="00EAF2EC"/>
      </patternFill>
    </fill>
  </fills>
  <borders count="4">
    <border>
      <left/>
      <right/>
      <top/>
      <bottom/>
      <diagonal/>
    </border>
    <border>
      <bottom style="medium">
        <color rgb="00355E3B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pivotButton="0" quotePrefix="0" xfId="0"/>
    <xf numFmtId="0" fontId="4" fillId="2" borderId="2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3" fontId="0" fillId="0" borderId="2" applyAlignment="1" pivotButton="0" quotePrefix="0" xfId="0">
      <alignment horizontal="right" vertical="center"/>
    </xf>
    <xf numFmtId="164" fontId="0" fillId="0" borderId="2" applyAlignment="1" pivotButton="0" quotePrefix="0" xfId="0">
      <alignment horizontal="right" vertical="center"/>
    </xf>
    <xf numFmtId="165" fontId="0" fillId="0" borderId="2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0" fontId="5" fillId="0" borderId="0" pivotButton="0" quotePrefix="0" xfId="0"/>
    <xf numFmtId="166" fontId="5" fillId="0" borderId="3" applyAlignment="1" pivotButton="0" quotePrefix="0" xfId="0">
      <alignment horizontal="right" vertical="center"/>
    </xf>
    <xf numFmtId="0" fontId="5" fillId="0" borderId="2" pivotButton="0" quotePrefix="0" xfId="0"/>
    <xf numFmtId="0" fontId="6" fillId="0" borderId="2" pivotButton="0" quotePrefix="0" xfId="0"/>
    <xf numFmtId="166" fontId="6" fillId="0" borderId="2" applyAlignment="1" pivotButton="0" quotePrefix="0" xfId="0">
      <alignment horizontal="right" vertical="center"/>
    </xf>
    <xf numFmtId="0" fontId="5" fillId="3" borderId="2" pivotButton="0" quotePrefix="0" xfId="0"/>
    <xf numFmtId="167" fontId="5" fillId="3" borderId="2" applyAlignment="1" pivotButton="0" quotePrefix="0" xfId="0">
      <alignment horizontal="right" vertical="center"/>
    </xf>
    <xf numFmtId="167" fontId="6" fillId="0" borderId="2" applyAlignment="1" pivotButton="0" quotePrefix="0" xfId="0">
      <alignment horizontal="right" vertical="center"/>
    </xf>
    <xf numFmtId="0" fontId="7" fillId="0" borderId="2" applyAlignment="1" pivotButton="0" quotePrefix="0" xfId="0">
      <alignment horizontal="center" vertical="center"/>
    </xf>
    <xf numFmtId="165" fontId="5" fillId="2" borderId="2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54" customWidth="1" min="2" max="2"/>
    <col width="54" customWidth="1" min="3" max="3"/>
    <col width="54" customWidth="1" min="4" max="4"/>
    <col width="54" customWidth="1" min="5" max="5"/>
    <col width="54" customWidth="1" min="6" max="6"/>
  </cols>
  <sheetData>
    <row r="1">
      <c r="A1" s="1" t="inlineStr">
        <is>
          <t>TD Commercial Banking | Agricultural Credit Model</t>
        </is>
      </c>
    </row>
    <row r="2"/>
    <row r="3">
      <c r="A3" s="2" t="inlineStr">
        <is>
          <t>Client: Saskatchewan Family Grain Farm (2,500 Acres)</t>
        </is>
      </c>
      <c r="F3" s="3" t="inlineStr">
        <is>
          <t>Date: July 2, 2026</t>
        </is>
      </c>
    </row>
    <row r="4"/>
    <row r="5" ht="20" customHeight="1">
      <c r="A5" s="4" t="inlineStr">
        <is>
          <t>I. CROP PRODUCTION ASSUMPTIONS</t>
        </is>
      </c>
    </row>
    <row r="6" ht="24" customHeight="1">
      <c r="A6" s="5" t="inlineStr">
        <is>
          <t>Crop Type</t>
        </is>
      </c>
      <c r="B6" s="6" t="inlineStr">
        <is>
          <t>Acres</t>
        </is>
      </c>
      <c r="C6" s="6" t="inlineStr">
        <is>
          <t>Base Yield (bu/acre)</t>
        </is>
      </c>
      <c r="D6" s="6" t="inlineStr">
        <is>
          <t>Base Market Price ($/bu)</t>
        </is>
      </c>
      <c r="E6" s="6" t="inlineStr">
        <is>
          <t>Projected Revenue</t>
        </is>
      </c>
    </row>
    <row r="7">
      <c r="A7" s="7" t="inlineStr">
        <is>
          <t>Canola</t>
        </is>
      </c>
      <c r="B7" s="8" t="n">
        <v>1000</v>
      </c>
      <c r="C7" s="9" t="n">
        <v>42</v>
      </c>
      <c r="D7" s="10" t="n">
        <v>14.5</v>
      </c>
      <c r="E7" s="11">
        <f>B7*C7*D7</f>
        <v/>
      </c>
    </row>
    <row r="8">
      <c r="A8" s="7" t="inlineStr">
        <is>
          <t>Wheat</t>
        </is>
      </c>
      <c r="B8" s="8" t="n">
        <v>1500</v>
      </c>
      <c r="C8" s="9" t="n">
        <v>55</v>
      </c>
      <c r="D8" s="10" t="n">
        <v>8.199999999999999</v>
      </c>
      <c r="E8" s="11">
        <f>B8*C8*D8</f>
        <v/>
      </c>
    </row>
    <row r="9">
      <c r="A9" s="12" t="inlineStr">
        <is>
          <t>Total Crop Revenue</t>
        </is>
      </c>
      <c r="E9" s="13">
        <f>SUM(E7:E8)</f>
        <v/>
      </c>
    </row>
    <row r="10"/>
    <row r="11">
      <c r="A11" s="4" t="inlineStr">
        <is>
          <t>II. FARM UNDERWRITING &amp; DEBT SERVICE</t>
        </is>
      </c>
    </row>
    <row r="12">
      <c r="A12" s="14" t="inlineStr">
        <is>
          <t>Gross Crop Revenue</t>
        </is>
      </c>
      <c r="B12" s="11">
        <f>E9</f>
        <v/>
      </c>
    </row>
    <row r="13">
      <c r="A13" s="15" t="inlineStr">
        <is>
          <t>Operating Costs (Seed, Fuel, Chemicals, Feed)</t>
        </is>
      </c>
      <c r="B13" s="16">
        <f>E9*0.65</f>
        <v/>
      </c>
    </row>
    <row r="14">
      <c r="A14" s="14" t="inlineStr">
        <is>
          <t>Net Operating Income (EBITDA)</t>
        </is>
      </c>
      <c r="B14" s="11">
        <f>B12-B13</f>
        <v/>
      </c>
    </row>
    <row r="15">
      <c r="A15" s="15" t="inlineStr">
        <is>
          <t>Less: Family Living Expenses &amp; Income Tax</t>
        </is>
      </c>
      <c r="B15" s="16" t="n">
        <v>45000</v>
      </c>
    </row>
    <row r="16">
      <c r="A16" s="14" t="inlineStr">
        <is>
          <t>Cash Available for Debt Service (CADS)</t>
        </is>
      </c>
      <c r="B16" s="11">
        <f>B14-B15</f>
        <v/>
      </c>
    </row>
    <row r="17">
      <c r="A17" s="15" t="inlineStr">
        <is>
          <t>Proposed Term Mortgage ($3.0M @ 6.0%, 20-yr)</t>
        </is>
      </c>
      <c r="B17" s="16">
        <f>PMT(0.06,20,-3000000)</f>
        <v/>
      </c>
    </row>
    <row r="18">
      <c r="A18" s="15" t="inlineStr">
        <is>
          <t>Existing Machinery Loan Payments</t>
        </is>
      </c>
      <c r="B18" s="16" t="n">
        <v>25000</v>
      </c>
    </row>
    <row r="19">
      <c r="A19" s="14" t="inlineStr">
        <is>
          <t>Total Annual Debt Service</t>
        </is>
      </c>
      <c r="B19" s="11">
        <f>B17+B18</f>
        <v/>
      </c>
    </row>
    <row r="20">
      <c r="A20" s="17" t="inlineStr">
        <is>
          <t>Debt Service Coverage Ratio (DSCR)</t>
        </is>
      </c>
      <c r="B20" s="18">
        <f>B16/B19</f>
        <v/>
      </c>
    </row>
    <row r="21">
      <c r="A21" s="15" t="inlineStr">
        <is>
          <t>Current Ratio (Current Assets / Current Liabilities)</t>
        </is>
      </c>
      <c r="B21" s="19" t="n">
        <v>1.35</v>
      </c>
    </row>
    <row r="22"/>
    <row r="23"/>
    <row r="24">
      <c r="A24" s="4" t="inlineStr">
        <is>
          <t>III. RISK SENSITIVITY MATRIX (DSCR under Canola Price vs. Canola Yield)</t>
        </is>
      </c>
    </row>
    <row r="25"/>
    <row r="26">
      <c r="A26" s="20" t="inlineStr">
        <is>
          <t>Canola Yield (bu/ac) \ Canola Price ($/bu)</t>
        </is>
      </c>
      <c r="B26" s="21" t="n">
        <v>10</v>
      </c>
      <c r="C26" s="21" t="n">
        <v>12</v>
      </c>
      <c r="D26" s="21" t="n">
        <v>14.5</v>
      </c>
      <c r="E26" s="21" t="n">
        <v>16</v>
      </c>
      <c r="F26" s="21" t="n">
        <v>18</v>
      </c>
    </row>
    <row r="27">
      <c r="A27" s="22" t="n">
        <v>30</v>
      </c>
      <c r="B27" s="19">
        <f>(((1000*B26*A27 + (B8*C8*D8)) * 0.35 - B15) / B19)</f>
        <v/>
      </c>
      <c r="C27" s="19">
        <f>(((1000*C26*A27 + (B8*C8*D8)) * 0.35 - B15) / B19)</f>
        <v/>
      </c>
      <c r="D27" s="19">
        <f>(((1000*D26*A27 + (B8*C8*D8)) * 0.35 - B15) / B19)</f>
        <v/>
      </c>
      <c r="E27" s="19">
        <f>(((1000*E26*A27 + (B8*C8*D8)) * 0.35 - B15) / B19)</f>
        <v/>
      </c>
      <c r="F27" s="19">
        <f>(((1000*F26*A27 + (B8*C8*D8)) * 0.35 - B15) / B19)</f>
        <v/>
      </c>
    </row>
    <row r="28">
      <c r="A28" s="22" t="n">
        <v>36</v>
      </c>
      <c r="B28" s="19">
        <f>(((1000*B26*A28 + (B8*C8*D8)) * 0.35 - B15) / B19)</f>
        <v/>
      </c>
      <c r="C28" s="19">
        <f>(((1000*C26*A28 + (B8*C8*D8)) * 0.35 - B15) / B19)</f>
        <v/>
      </c>
      <c r="D28" s="19">
        <f>(((1000*D26*A28 + (B8*C8*D8)) * 0.35 - B15) / B19)</f>
        <v/>
      </c>
      <c r="E28" s="19">
        <f>(((1000*E26*A28 + (B8*C8*D8)) * 0.35 - B15) / B19)</f>
        <v/>
      </c>
      <c r="F28" s="19">
        <f>(((1000*F26*A28 + (B8*C8*D8)) * 0.35 - B15) / B19)</f>
        <v/>
      </c>
    </row>
    <row r="29">
      <c r="A29" s="22" t="n">
        <v>42</v>
      </c>
      <c r="B29" s="19">
        <f>(((1000*B26*A29 + (B8*C8*D8)) * 0.35 - B15) / B19)</f>
        <v/>
      </c>
      <c r="C29" s="19">
        <f>(((1000*C26*A29 + (B8*C8*D8)) * 0.35 - B15) / B19)</f>
        <v/>
      </c>
      <c r="D29" s="19">
        <f>(((1000*D26*A29 + (B8*C8*D8)) * 0.35 - B15) / B19)</f>
        <v/>
      </c>
      <c r="E29" s="19">
        <f>(((1000*E26*A29 + (B8*C8*D8)) * 0.35 - B15) / B19)</f>
        <v/>
      </c>
      <c r="F29" s="19">
        <f>(((1000*F26*A29 + (B8*C8*D8)) * 0.35 - B15) / B19)</f>
        <v/>
      </c>
    </row>
    <row r="30">
      <c r="A30" s="22" t="n">
        <v>48</v>
      </c>
      <c r="B30" s="19">
        <f>(((1000*B26*A30 + (B8*C8*D8)) * 0.35 - B15) / B19)</f>
        <v/>
      </c>
      <c r="C30" s="19">
        <f>(((1000*C26*A30 + (B8*C8*D8)) * 0.35 - B15) / B19)</f>
        <v/>
      </c>
      <c r="D30" s="19">
        <f>(((1000*D26*A30 + (B8*C8*D8)) * 0.35 - B15) / B19)</f>
        <v/>
      </c>
      <c r="E30" s="19">
        <f>(((1000*E26*A30 + (B8*C8*D8)) * 0.35 - B15) / B19)</f>
        <v/>
      </c>
      <c r="F30" s="19">
        <f>(((1000*F26*A30 + (B8*C8*D8)) * 0.35 - B15) / B19)</f>
        <v/>
      </c>
    </row>
    <row r="31">
      <c r="A31" s="22" t="n">
        <v>54</v>
      </c>
      <c r="B31" s="19">
        <f>(((1000*B26*A31 + (B8*C8*D8)) * 0.35 - B15) / B19)</f>
        <v/>
      </c>
      <c r="C31" s="19">
        <f>(((1000*C26*A31 + (B8*C8*D8)) * 0.35 - B15) / B19)</f>
        <v/>
      </c>
      <c r="D31" s="19">
        <f>(((1000*D26*A31 + (B8*C8*D8)) * 0.35 - B15) / B19)</f>
        <v/>
      </c>
      <c r="E31" s="19">
        <f>(((1000*E26*A31 + (B8*C8*D8)) * 0.35 - B15) / B19)</f>
        <v/>
      </c>
      <c r="F31" s="19">
        <f>(((1000*F26*A31 + (B8*C8*D8)) * 0.35 - B15) / B19)</f>
        <v/>
      </c>
    </row>
    <row r="32"/>
    <row r="33">
      <c r="A33" s="23" t="inlineStr">
        <is>
          <t>* Green cells represent acceptable credit risk (DSCR &gt;= 1.25x).</t>
        </is>
      </c>
    </row>
    <row r="34">
      <c r="A34" s="23" t="inlineStr">
        <is>
          <t>* Yellow cells indicate tight coverage requiring monitoring (1.15x - 1.24x).</t>
        </is>
      </c>
    </row>
    <row r="35">
      <c r="A35" s="23" t="inlineStr">
        <is>
          <t>* Red cells represent high risk, potential default conditions (DSCR &lt; 1.15x).</t>
        </is>
      </c>
    </row>
  </sheetData>
  <mergeCells count="1">
    <mergeCell ref="A1:F2"/>
  </mergeCells>
  <conditionalFormatting sqref="B27:F31">
    <cfRule type="cellIs" priority="1" operator="greaterThanOrEqual" dxfId="0">
      <formula>1.25</formula>
    </cfRule>
    <cfRule type="cellIs" priority="2" operator="between" dxfId="1">
      <formula>1.15</formula>
      <formula>1.24</formula>
    </cfRule>
    <cfRule type="cellIs" priority="3" operator="lessThan" dxfId="2">
      <formula>1.15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2026-07-02T19:35:43Z</dcterms:created>
  <dcterms:modified xmlns:dcterms="http://purl.org/dc/terms/" xmlns:xsi="http://www.w3.org/2001/XMLSchema-instance" xsi:type="dcterms:W3CDTF">2026-07-02T19:35:43Z</dcterms:modified>
</cp:coreProperties>
</file>